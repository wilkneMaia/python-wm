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wilkne/Workspace/development/studies/python-wm/src/pdf-extractor/files/csv/"/>
    </mc:Choice>
  </mc:AlternateContent>
  <xr:revisionPtr revIDLastSave="0" documentId="13_ncr:40009_{4C2333AC-2808-9C48-9732-266477FBB295}" xr6:coauthVersionLast="47" xr6:coauthVersionMax="47" xr10:uidLastSave="{00000000-0000-0000-0000-000000000000}"/>
  <bookViews>
    <workbookView xWindow="11680" yWindow="-21100" windowWidth="28520" windowHeight="16840" activeTab="1"/>
  </bookViews>
  <sheets>
    <sheet name="09_24-2" sheetId="1" r:id="rId1"/>
    <sheet name="Planilha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4" i="2" l="1"/>
  <c r="I6" i="2"/>
  <c r="F6" i="2"/>
  <c r="E21" i="1"/>
  <c r="E20" i="1"/>
  <c r="D19" i="1"/>
  <c r="D20" i="1" s="1"/>
</calcChain>
</file>

<file path=xl/sharedStrings.xml><?xml version="1.0" encoding="utf-8"?>
<sst xmlns="http://schemas.openxmlformats.org/spreadsheetml/2006/main" count="82" uniqueCount="59">
  <si>
    <t>Itens_de_Fatura</t>
  </si>
  <si>
    <t>Unid</t>
  </si>
  <si>
    <t>Quant</t>
  </si>
  <si>
    <t>PIS/COFINS</t>
  </si>
  <si>
    <t>Al√≠quota_ICMS</t>
  </si>
  <si>
    <t>ICMS</t>
  </si>
  <si>
    <t>Energia Ativa Fornecida TE</t>
  </si>
  <si>
    <t>kWh</t>
  </si>
  <si>
    <t>Energia Ativa Fornecida TUSD</t>
  </si>
  <si>
    <t>Energia Atv Inj TE mUC 09/2024 mPT</t>
  </si>
  <si>
    <t>Energia Atv Inj TUSD mUC 09/2024 mPT</t>
  </si>
  <si>
    <t>Adic Band Vermelha Comp</t>
  </si>
  <si>
    <t>Adicional Band Vermelha</t>
  </si>
  <si>
    <t>CIP ILUM PUB PREF MUNICIPAL</t>
  </si>
  <si>
    <t>Juros Morat√≥rios</t>
  </si>
  <si>
    <t>Multa</t>
  </si>
  <si>
    <t>Pre√ßo_unit_tributos</t>
  </si>
  <si>
    <t>Valor</t>
  </si>
  <si>
    <t>Base_Calc_ICMS</t>
  </si>
  <si>
    <t>Tarifa_unit</t>
  </si>
  <si>
    <t>MÊS/ANO</t>
  </si>
  <si>
    <t>Valor Total da Energia Ativa</t>
  </si>
  <si>
    <t>Descrição</t>
  </si>
  <si>
    <t>Quantidade de kWh</t>
  </si>
  <si>
    <t>Valor por kWh (TE)</t>
  </si>
  <si>
    <t>Valor por kWh (TUSD)</t>
  </si>
  <si>
    <r>
      <t>=B2 * B3 + B2 * B4</t>
    </r>
    <r>
      <rPr>
        <sz val="12"/>
        <color rgb="FF000000"/>
        <rFont val="Calibri"/>
        <family val="2"/>
        <scheme val="minor"/>
      </rPr>
      <t> (resultado: 307,59)</t>
    </r>
  </si>
  <si>
    <t>Valor Total da CIP</t>
  </si>
  <si>
    <t>Percentual da CIP</t>
  </si>
  <si>
    <r>
      <t>=B6 / B5 * 100</t>
    </r>
    <r>
      <rPr>
        <sz val="12"/>
        <color rgb="FF000000"/>
        <rFont val="Calibri"/>
        <family val="2"/>
        <scheme val="minor"/>
      </rPr>
      <t> (resultado: 22,4%)</t>
    </r>
  </si>
  <si>
    <t>Para descobrir o valor do kWh referente à taxa "CIP ILUM PUB PREF MUNICIPAL" na sua conta de energia, você pode seguir este raciocínio:</t>
  </si>
  <si>
    <r>
      <t>Entenda as categorias da sua conta</t>
    </r>
    <r>
      <rPr>
        <sz val="12"/>
        <color rgb="FF000000"/>
        <rFont val="Calibri"/>
        <family val="2"/>
        <scheme val="minor"/>
      </rPr>
      <t>:</t>
    </r>
  </si>
  <si>
    <r>
      <t>Energia Ativa Fornecida TE (Tarifa de Energia)</t>
    </r>
    <r>
      <rPr>
        <sz val="12"/>
        <color rgb="FF000000"/>
        <rFont val="Calibri"/>
        <family val="2"/>
        <scheme val="minor"/>
      </rPr>
      <t>: R$ 0,36 por kWh.</t>
    </r>
  </si>
  <si>
    <r>
      <t>Energia Ativa Fornecida TUSD (Tarifa de Uso do Sistema de Distribuição)</t>
    </r>
    <r>
      <rPr>
        <sz val="12"/>
        <color rgb="FF000000"/>
        <rFont val="Calibri"/>
        <family val="2"/>
        <scheme val="minor"/>
      </rPr>
      <t>: R$ 0,59 por kWh.</t>
    </r>
  </si>
  <si>
    <r>
      <t>CIP ILUM PUB PREF MUNICIPAL</t>
    </r>
    <r>
      <rPr>
        <sz val="12"/>
        <color rgb="FF000000"/>
        <rFont val="Calibri"/>
        <family val="2"/>
        <scheme val="minor"/>
      </rPr>
      <t>: R$ 68,87 (taxa fixa).</t>
    </r>
  </si>
  <si>
    <r>
      <t>Calcule o valor total da energia ativa fornecida</t>
    </r>
    <r>
      <rPr>
        <sz val="12"/>
        <color rgb="FF000000"/>
        <rFont val="Calibri"/>
        <family val="2"/>
        <scheme val="minor"/>
      </rPr>
      <t>:</t>
    </r>
  </si>
  <si>
    <t>A conta mostra que o valor total para a energia ativa fornecida é de R$ 116,22 para 324 kWh.</t>
  </si>
  <si>
    <t>Isso é composto por: Energia Ativa Fornecida TE e TUSD.</t>
  </si>
  <si>
    <r>
      <t>Verifique os valores das tarifas por kWh</t>
    </r>
    <r>
      <rPr>
        <sz val="12"/>
        <color rgb="FF000000"/>
        <rFont val="Calibri"/>
        <family val="2"/>
        <scheme val="minor"/>
      </rPr>
      <t>:</t>
    </r>
  </si>
  <si>
    <r>
      <t>Energia Ativa Fornecida TE</t>
    </r>
    <r>
      <rPr>
        <sz val="12"/>
        <color rgb="FF000000"/>
        <rFont val="Calibri"/>
        <family val="2"/>
        <scheme val="minor"/>
      </rPr>
      <t>: 324 kWh * R$ 0,36 = R$ 116,64.</t>
    </r>
  </si>
  <si>
    <r>
      <t>Energia Ativa Fornecida TUSD</t>
    </r>
    <r>
      <rPr>
        <sz val="12"/>
        <color rgb="FF000000"/>
        <rFont val="Calibri"/>
        <family val="2"/>
        <scheme val="minor"/>
      </rPr>
      <t>: 324 kWh * R$ 0,59 = R$ 191,37.</t>
    </r>
  </si>
  <si>
    <t>Com esses cálculos, o valor total da energia ativa fornecida (TE + TUSD) seria R$ 116,64 + R$ 191,37 = R$ 308,01.</t>
  </si>
  <si>
    <r>
      <t>Identifique a diferença e a porcentagem</t>
    </r>
    <r>
      <rPr>
        <sz val="12"/>
        <color rgb="FF000000"/>
        <rFont val="Calibri"/>
        <family val="2"/>
        <scheme val="minor"/>
      </rPr>
      <t>:</t>
    </r>
  </si>
  <si>
    <t>O valor real da energia ativa fornecida é R$ 116,22, então pode haver um ajuste ou erro. No entanto, vamos prosseguir com a porcentagem da CIP.</t>
  </si>
  <si>
    <r>
      <t>Determine a porcentagem da CIP</t>
    </r>
    <r>
      <rPr>
        <sz val="12"/>
        <color rgb="FF000000"/>
        <rFont val="Calibri"/>
        <family val="2"/>
        <scheme val="minor"/>
      </rPr>
      <t>:</t>
    </r>
  </si>
  <si>
    <t>Supondo que o valor da CIP (R$ 68,87) seja uma porcentagem da soma dos valores de TE e TUSD, você pode calcular a porcentagem considerando a base total.</t>
  </si>
  <si>
    <r>
      <t>Calcule o valor da CIP em relação ao total de kWh</t>
    </r>
    <r>
      <rPr>
        <sz val="12"/>
        <color rgb="FF000000"/>
        <rFont val="Calibri"/>
        <family val="2"/>
        <scheme val="minor"/>
      </rPr>
      <t>:</t>
    </r>
  </si>
  <si>
    <t>O total do valor da energia é R$ 116,22 + R$ 191,37 = R$ 307,59.</t>
  </si>
  <si>
    <t>Para calcular a CIP como uma porcentagem da soma do valor total da energia ativa fornecida (R$ 307,59):</t>
  </si>
  <si>
    <t>Percentual da CIP=(Valor da CIPTotal da energia ativa fornecida)×100Percentual da CIP=(Total da energia ativa fornecidaValor da CIP​)×100Percentual da CIP=(68,87307,59)×100≈22,4%Percentual da CIP=(307,5968,87​)×100≈22,4%</t>
  </si>
  <si>
    <t>Portanto, o valor da CIP ILUM PUB PREF MUNICIPAL equivale a aproximadamente 22,4% do valor total da energia ativa fornecida.</t>
  </si>
  <si>
    <r>
      <t>Resumo</t>
    </r>
    <r>
      <rPr>
        <sz val="12"/>
        <color rgb="FF000000"/>
        <rFont val="Calibri"/>
        <family val="2"/>
        <scheme val="minor"/>
      </rPr>
      <t>: A taxa da CIP ILUM PUB PREF MUNICIPAL parece ser uma porcentagem do valor da energia ativa fornecida. No seu caso, essa porcentagem é aproximadamente 22,4% do total que você paga pela energia ativa fornecida (TE e TUSD).</t>
    </r>
  </si>
  <si>
    <r>
      <t>Quantidade de kWh (B2)</t>
    </r>
    <r>
      <rPr>
        <sz val="12"/>
        <color rgb="FF000000"/>
        <rFont val="Calibri"/>
        <family val="2"/>
        <scheme val="minor"/>
      </rPr>
      <t>: 324</t>
    </r>
  </si>
  <si>
    <r>
      <t>Valor por kWh (TE) (B3)</t>
    </r>
    <r>
      <rPr>
        <sz val="12"/>
        <color rgb="FF000000"/>
        <rFont val="Calibri"/>
        <family val="2"/>
        <scheme val="minor"/>
      </rPr>
      <t>: 0,36</t>
    </r>
  </si>
  <si>
    <r>
      <t>Valor por kWh (TUSD) (B4)</t>
    </r>
    <r>
      <rPr>
        <sz val="12"/>
        <color rgb="FF000000"/>
        <rFont val="Calibri"/>
        <family val="2"/>
        <scheme val="minor"/>
      </rPr>
      <t>: 0,59</t>
    </r>
  </si>
  <si>
    <r>
      <t>Valor Total da Energia Ativa (B5)</t>
    </r>
    <r>
      <rPr>
        <sz val="12"/>
        <color rgb="FF000000"/>
        <rFont val="Calibri"/>
        <family val="2"/>
        <scheme val="minor"/>
      </rPr>
      <t>: </t>
    </r>
    <r>
      <rPr>
        <sz val="10"/>
        <color rgb="FF000000"/>
        <rFont val="Arial Unicode MS"/>
        <family val="2"/>
      </rPr>
      <t>=B2 * B3 + B2 * B4</t>
    </r>
  </si>
  <si>
    <r>
      <t>Valor Total da CIP (B6)</t>
    </r>
    <r>
      <rPr>
        <sz val="12"/>
        <color rgb="FF000000"/>
        <rFont val="Calibri"/>
        <family val="2"/>
        <scheme val="minor"/>
      </rPr>
      <t>: 68,87</t>
    </r>
  </si>
  <si>
    <r>
      <t>Percentual da CIP (B7)</t>
    </r>
    <r>
      <rPr>
        <sz val="12"/>
        <color rgb="FF000000"/>
        <rFont val="Calibri"/>
        <family val="2"/>
        <scheme val="minor"/>
      </rPr>
      <t>: </t>
    </r>
    <r>
      <rPr>
        <sz val="10"/>
        <color rgb="FF000000"/>
        <rFont val="Arial Unicode MS"/>
        <family val="2"/>
      </rPr>
      <t>=B6 / B5 * 100</t>
    </r>
  </si>
  <si>
    <t>percentual_cip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</si>
</sst>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5" formatCode="&quot;R$&quot;\ #,##0.00"/>
    <numFmt numFmtId="168" formatCode="&quot;R$&quot;\ #,##0.00000"/>
    <numFmt numFmtId="177" formatCode="0.0%"/>
    <numFmt numFmtId="181" formatCode="0.0"/>
  </numFmts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Arial Unicode MS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left"/>
    </xf>
    <xf numFmtId="0" fontId="16" fillId="0" borderId="10" xfId="0" applyFont="1" applyBorder="1"/>
    <xf numFmtId="0" fontId="16" fillId="0" borderId="11" xfId="0" applyFont="1" applyBorder="1"/>
    <xf numFmtId="0" fontId="16" fillId="0" borderId="11" xfId="0" applyFont="1" applyBorder="1" applyAlignment="1">
      <alignment horizontal="left"/>
    </xf>
    <xf numFmtId="0" fontId="16" fillId="0" borderId="12" xfId="0" applyFont="1" applyBorder="1" applyAlignment="1">
      <alignment horizontal="left"/>
    </xf>
    <xf numFmtId="0" fontId="0" fillId="0" borderId="14" xfId="0" applyBorder="1" applyAlignment="1">
      <alignment horizontal="left"/>
    </xf>
    <xf numFmtId="10" fontId="0" fillId="0" borderId="14" xfId="0" applyNumberFormat="1" applyBorder="1" applyAlignment="1">
      <alignment horizontal="left"/>
    </xf>
    <xf numFmtId="0" fontId="14" fillId="0" borderId="14" xfId="0" applyFont="1" applyBorder="1" applyAlignment="1">
      <alignment horizontal="left"/>
    </xf>
    <xf numFmtId="10" fontId="14" fillId="0" borderId="14" xfId="0" applyNumberFormat="1" applyFont="1" applyBorder="1" applyAlignment="1">
      <alignment horizontal="left"/>
    </xf>
    <xf numFmtId="165" fontId="14" fillId="0" borderId="14" xfId="0" applyNumberFormat="1" applyFont="1" applyBorder="1" applyAlignment="1">
      <alignment horizontal="left"/>
    </xf>
    <xf numFmtId="165" fontId="0" fillId="0" borderId="14" xfId="0" applyNumberFormat="1" applyBorder="1" applyAlignment="1">
      <alignment horizontal="left"/>
    </xf>
    <xf numFmtId="168" fontId="14" fillId="0" borderId="14" xfId="0" applyNumberFormat="1" applyFont="1" applyBorder="1" applyAlignment="1">
      <alignment horizontal="left"/>
    </xf>
    <xf numFmtId="168" fontId="0" fillId="0" borderId="14" xfId="0" applyNumberFormat="1" applyBorder="1" applyAlignment="1">
      <alignment horizontal="left"/>
    </xf>
    <xf numFmtId="17" fontId="18" fillId="0" borderId="13" xfId="0" applyNumberFormat="1" applyFont="1" applyBorder="1" applyAlignment="1">
      <alignment horizontal="center"/>
    </xf>
    <xf numFmtId="0" fontId="14" fillId="0" borderId="14" xfId="0" applyFont="1" applyFill="1" applyBorder="1" applyAlignment="1">
      <alignment horizontal="left"/>
    </xf>
    <xf numFmtId="0" fontId="19" fillId="0" borderId="0" xfId="0" applyFont="1"/>
    <xf numFmtId="0" fontId="20" fillId="0" borderId="0" xfId="0" applyFont="1"/>
    <xf numFmtId="0" fontId="21" fillId="0" borderId="0" xfId="0" applyFont="1"/>
    <xf numFmtId="2" fontId="14" fillId="0" borderId="14" xfId="0" applyNumberFormat="1" applyFont="1" applyBorder="1" applyAlignment="1">
      <alignment horizontal="left"/>
    </xf>
    <xf numFmtId="177" fontId="14" fillId="0" borderId="14" xfId="0" applyNumberFormat="1" applyFont="1" applyBorder="1" applyAlignment="1">
      <alignment horizontal="left"/>
    </xf>
    <xf numFmtId="181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4">
    <dxf>
      <alignment horizontal="lef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</border>
    </dxf>
    <dxf>
      <font>
        <color rgb="FFFF0000"/>
      </font>
      <numFmt numFmtId="168" formatCode="&quot;R$&quot;\ #,##0.00000"/>
      <alignment horizontal="lef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</border>
    </dxf>
    <dxf>
      <font>
        <color rgb="FFFF0000"/>
      </font>
      <numFmt numFmtId="165" formatCode="&quot;R$&quot;\ #,##0.00"/>
      <alignment horizontal="left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/>
        <horizontal/>
      </border>
    </dxf>
    <dxf>
      <font>
        <color rgb="FFFF0000"/>
      </font>
      <numFmt numFmtId="165" formatCode="&quot;R$&quot;\ #,##0.00"/>
      <alignment horizontal="left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/>
        <horizontal/>
      </border>
    </dxf>
    <dxf>
      <numFmt numFmtId="165" formatCode="&quot;R$&quot;\ #,##0.00"/>
      <alignment horizontal="lef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</border>
    </dxf>
    <dxf>
      <alignment horizontal="left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hair">
          <color indexed="64"/>
        </left>
        <right style="hair">
          <color indexed="64"/>
        </right>
        <vertical style="hair">
          <color indexed="64"/>
        </vertical>
      </border>
    </dxf>
    <dxf>
      <numFmt numFmtId="14" formatCode="0.00%"/>
      <alignment horizontal="left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vertical style="hair">
          <color indexed="64"/>
        </vertical>
      </border>
    </dxf>
    <dxf>
      <alignment horizontal="left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vertical style="hair">
          <color indexed="64"/>
        </vertical>
      </border>
    </dxf>
    <dxf>
      <alignment horizontal="left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vertical style="hair">
          <color indexed="64"/>
        </vertical>
      </border>
    </dxf>
    <dxf>
      <border diagonalUp="0" diagonalDown="0">
        <left style="hair">
          <color indexed="64"/>
        </left>
        <right style="hair">
          <color indexed="64"/>
        </right>
        <top style="thin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ela1" displayName="Tabela1" ref="A1:K10" totalsRowShown="0" headerRowDxfId="8" headerRowBorderDxfId="13" tableBorderDxfId="12">
  <autoFilter ref="A1:K10"/>
  <tableColumns count="11">
    <tableColumn id="1" name="MÊS/ANO" dataDxfId="1"/>
    <tableColumn id="2" name="Itens_de_Fatura" dataDxfId="0"/>
    <tableColumn id="3" name="Unid" dataDxfId="11"/>
    <tableColumn id="4" name="Quant" dataDxfId="10"/>
    <tableColumn id="5" name="Pre√ßo_unit_tributos" dataDxfId="5"/>
    <tableColumn id="6" name="Valor" dataDxfId="6"/>
    <tableColumn id="7" name="PIS/COFINS" dataDxfId="7"/>
    <tableColumn id="8" name="Base_Calc_ICMS" dataDxfId="4"/>
    <tableColumn id="9" name="Al√≠quota_ICMS" dataDxfId="9"/>
    <tableColumn id="10" name="ICMS" dataDxfId="3"/>
    <tableColumn id="11" name="Tarifa_unit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1"/>
  <sheetViews>
    <sheetView showGridLines="0" zoomScale="120" zoomScaleNormal="120" workbookViewId="0">
      <selection activeCell="E19" sqref="E19"/>
    </sheetView>
  </sheetViews>
  <sheetFormatPr baseColWidth="10" defaultRowHeight="16" x14ac:dyDescent="0.2"/>
  <cols>
    <col min="1" max="1" width="12" bestFit="1" customWidth="1"/>
    <col min="2" max="2" width="34.6640625" bestFit="1" customWidth="1"/>
    <col min="3" max="3" width="7.5" style="1" bestFit="1" customWidth="1"/>
    <col min="4" max="4" width="8.6640625" style="1" bestFit="1" customWidth="1"/>
    <col min="5" max="5" width="21.6640625" style="1" bestFit="1" customWidth="1"/>
    <col min="6" max="6" width="10" style="1" bestFit="1" customWidth="1"/>
    <col min="7" max="7" width="13.1640625" style="1" bestFit="1" customWidth="1"/>
    <col min="8" max="8" width="17.1640625" style="1" bestFit="1" customWidth="1"/>
    <col min="9" max="9" width="17.5" style="1" bestFit="1" customWidth="1"/>
    <col min="10" max="10" width="7.83203125" style="1" bestFit="1" customWidth="1"/>
    <col min="11" max="11" width="12.6640625" style="1" bestFit="1" customWidth="1"/>
  </cols>
  <sheetData>
    <row r="1" spans="1:11" ht="17" thickBot="1" x14ac:dyDescent="0.25">
      <c r="A1" s="2" t="s">
        <v>20</v>
      </c>
      <c r="B1" s="3" t="s">
        <v>0</v>
      </c>
      <c r="C1" s="4" t="s">
        <v>1</v>
      </c>
      <c r="D1" s="4" t="s">
        <v>2</v>
      </c>
      <c r="E1" s="4" t="s">
        <v>16</v>
      </c>
      <c r="F1" s="4" t="s">
        <v>17</v>
      </c>
      <c r="G1" s="4" t="s">
        <v>3</v>
      </c>
      <c r="H1" s="4" t="s">
        <v>18</v>
      </c>
      <c r="I1" s="4" t="s">
        <v>4</v>
      </c>
      <c r="J1" s="4" t="s">
        <v>5</v>
      </c>
      <c r="K1" s="5" t="s">
        <v>19</v>
      </c>
    </row>
    <row r="2" spans="1:11" x14ac:dyDescent="0.2">
      <c r="A2" s="14">
        <v>45536</v>
      </c>
      <c r="B2" s="8" t="s">
        <v>6</v>
      </c>
      <c r="C2" s="8" t="s">
        <v>7</v>
      </c>
      <c r="D2" s="8">
        <v>324</v>
      </c>
      <c r="E2" s="10">
        <v>0.35870000000000002</v>
      </c>
      <c r="F2" s="10">
        <v>116.22</v>
      </c>
      <c r="G2" s="8">
        <v>4.57</v>
      </c>
      <c r="H2" s="10">
        <v>116.22</v>
      </c>
      <c r="I2" s="9">
        <v>0.2</v>
      </c>
      <c r="J2" s="8">
        <v>23.24</v>
      </c>
      <c r="K2" s="12">
        <v>0.27290999999999999</v>
      </c>
    </row>
    <row r="3" spans="1:11" x14ac:dyDescent="0.2">
      <c r="A3" s="14">
        <v>45536</v>
      </c>
      <c r="B3" s="8" t="s">
        <v>8</v>
      </c>
      <c r="C3" s="8" t="s">
        <v>7</v>
      </c>
      <c r="D3" s="8">
        <v>324</v>
      </c>
      <c r="E3" s="10">
        <v>0.59065000000000001</v>
      </c>
      <c r="F3" s="10">
        <v>191.37</v>
      </c>
      <c r="G3" s="8">
        <v>7.54</v>
      </c>
      <c r="H3" s="10">
        <v>191.37</v>
      </c>
      <c r="I3" s="9">
        <v>0.2</v>
      </c>
      <c r="J3" s="8">
        <v>38.270000000000003</v>
      </c>
      <c r="K3" s="12">
        <v>0.44929000000000002</v>
      </c>
    </row>
    <row r="4" spans="1:11" x14ac:dyDescent="0.2">
      <c r="A4" s="14">
        <v>45536</v>
      </c>
      <c r="B4" s="6" t="s">
        <v>9</v>
      </c>
      <c r="C4" s="6" t="s">
        <v>7</v>
      </c>
      <c r="D4" s="6">
        <v>294</v>
      </c>
      <c r="E4" s="11">
        <v>-0.35874</v>
      </c>
      <c r="F4" s="11">
        <v>-105.47</v>
      </c>
      <c r="G4" s="6">
        <v>-4.1500000000000004</v>
      </c>
      <c r="H4" s="11">
        <v>-105.47</v>
      </c>
      <c r="I4" s="7">
        <v>0.2</v>
      </c>
      <c r="J4" s="6">
        <v>-21.09</v>
      </c>
      <c r="K4" s="13">
        <v>0.27290999999999999</v>
      </c>
    </row>
    <row r="5" spans="1:11" x14ac:dyDescent="0.2">
      <c r="A5" s="14">
        <v>45536</v>
      </c>
      <c r="B5" s="6" t="s">
        <v>10</v>
      </c>
      <c r="C5" s="6" t="s">
        <v>7</v>
      </c>
      <c r="D5" s="6">
        <v>294</v>
      </c>
      <c r="E5" s="11">
        <v>-0.47255000000000003</v>
      </c>
      <c r="F5" s="11">
        <v>-138.93</v>
      </c>
      <c r="G5" s="6">
        <v>-6.84</v>
      </c>
      <c r="H5" s="11">
        <v>0</v>
      </c>
      <c r="I5" s="7">
        <v>0</v>
      </c>
      <c r="J5" s="6">
        <v>0</v>
      </c>
      <c r="K5" s="13">
        <v>0.44929000000000002</v>
      </c>
    </row>
    <row r="6" spans="1:11" x14ac:dyDescent="0.2">
      <c r="A6" s="14">
        <v>45536</v>
      </c>
      <c r="B6" s="6" t="s">
        <v>11</v>
      </c>
      <c r="C6" s="6" t="s">
        <v>7</v>
      </c>
      <c r="D6" s="6">
        <v>294</v>
      </c>
      <c r="E6" s="11">
        <v>-1.9970000000000002E-2</v>
      </c>
      <c r="F6" s="11">
        <v>-5.87</v>
      </c>
      <c r="G6" s="6">
        <v>-0.23</v>
      </c>
      <c r="H6" s="11">
        <v>-5.87</v>
      </c>
      <c r="I6" s="7">
        <v>0.2</v>
      </c>
      <c r="J6" s="6">
        <v>-1.17</v>
      </c>
      <c r="K6" s="13">
        <v>1.525E-2</v>
      </c>
    </row>
    <row r="7" spans="1:11" x14ac:dyDescent="0.2">
      <c r="A7" s="14">
        <v>45536</v>
      </c>
      <c r="B7" s="8" t="s">
        <v>12</v>
      </c>
      <c r="C7" s="8" t="s">
        <v>7</v>
      </c>
      <c r="D7" s="8">
        <v>324</v>
      </c>
      <c r="E7" s="10">
        <v>1.9939999999999999E-2</v>
      </c>
      <c r="F7" s="10">
        <v>6.46</v>
      </c>
      <c r="G7" s="8">
        <v>0.24</v>
      </c>
      <c r="H7" s="10">
        <v>6.46</v>
      </c>
      <c r="I7" s="9">
        <v>0.2</v>
      </c>
      <c r="J7" s="8">
        <v>1.29</v>
      </c>
      <c r="K7" s="12">
        <v>1.5219999999999999E-2</v>
      </c>
    </row>
    <row r="8" spans="1:11" x14ac:dyDescent="0.2">
      <c r="A8" s="14">
        <v>45536</v>
      </c>
      <c r="B8" s="8" t="s">
        <v>13</v>
      </c>
      <c r="C8" s="8"/>
      <c r="D8" s="8"/>
      <c r="E8" s="10"/>
      <c r="F8" s="10">
        <v>68.87</v>
      </c>
      <c r="G8" s="8">
        <v>0</v>
      </c>
      <c r="H8" s="10">
        <v>0</v>
      </c>
      <c r="I8" s="9">
        <v>0</v>
      </c>
      <c r="J8" s="8">
        <v>0</v>
      </c>
      <c r="K8" s="12"/>
    </row>
    <row r="9" spans="1:11" x14ac:dyDescent="0.2">
      <c r="A9" s="14">
        <v>45536</v>
      </c>
      <c r="B9" s="8" t="s">
        <v>14</v>
      </c>
      <c r="C9" s="8"/>
      <c r="D9" s="8"/>
      <c r="E9" s="10"/>
      <c r="F9" s="10">
        <v>0.54</v>
      </c>
      <c r="G9" s="8">
        <v>0</v>
      </c>
      <c r="H9" s="10">
        <v>0</v>
      </c>
      <c r="I9" s="9">
        <v>0</v>
      </c>
      <c r="J9" s="8">
        <v>0</v>
      </c>
      <c r="K9" s="12"/>
    </row>
    <row r="10" spans="1:11" x14ac:dyDescent="0.2">
      <c r="A10" s="14">
        <v>45536</v>
      </c>
      <c r="B10" s="8" t="s">
        <v>15</v>
      </c>
      <c r="C10" s="8"/>
      <c r="D10" s="8"/>
      <c r="E10" s="10"/>
      <c r="F10" s="10">
        <v>1.26</v>
      </c>
      <c r="G10" s="8">
        <v>0</v>
      </c>
      <c r="H10" s="10">
        <v>0</v>
      </c>
      <c r="I10" s="9">
        <v>0</v>
      </c>
      <c r="J10" s="8">
        <v>0</v>
      </c>
      <c r="K10" s="12"/>
    </row>
    <row r="19" spans="4:5" x14ac:dyDescent="0.2">
      <c r="D19" s="1">
        <f>D4-D3</f>
        <v>-30</v>
      </c>
    </row>
    <row r="20" spans="4:5" x14ac:dyDescent="0.2">
      <c r="D20" s="1">
        <f>D19-30</f>
        <v>-60</v>
      </c>
      <c r="E20" s="1">
        <f>D2*20%</f>
        <v>64.8</v>
      </c>
    </row>
    <row r="21" spans="4:5" x14ac:dyDescent="0.2">
      <c r="E21" s="1">
        <f>D2*20.72%</f>
        <v>67.132800000000003</v>
      </c>
    </row>
  </sheetData>
  <pageMargins left="0.78740157499999996" right="0.78740157499999996" top="0.984251969" bottom="0.984251969" header="0.4921259845" footer="0.492125984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1"/>
  <sheetViews>
    <sheetView tabSelected="1" zoomScaleNormal="100" workbookViewId="0">
      <selection activeCell="F2" sqref="F2:F6"/>
    </sheetView>
  </sheetViews>
  <sheetFormatPr baseColWidth="10" defaultRowHeight="16" x14ac:dyDescent="0.2"/>
  <cols>
    <col min="1" max="1" width="9.5" bestFit="1" customWidth="1"/>
    <col min="2" max="2" width="34.6640625" bestFit="1" customWidth="1"/>
    <col min="3" max="3" width="5" bestFit="1" customWidth="1"/>
    <col min="4" max="4" width="6.1640625" bestFit="1" customWidth="1"/>
    <col min="5" max="5" width="19.1640625" bestFit="1" customWidth="1"/>
    <col min="6" max="6" width="10" bestFit="1" customWidth="1"/>
    <col min="7" max="7" width="10.6640625" bestFit="1" customWidth="1"/>
    <col min="8" max="8" width="14.6640625" bestFit="1" customWidth="1"/>
    <col min="9" max="9" width="15" bestFit="1" customWidth="1"/>
    <col min="10" max="10" width="6.83203125" bestFit="1" customWidth="1"/>
    <col min="11" max="11" width="10.33203125" bestFit="1" customWidth="1"/>
    <col min="12" max="12" width="15.33203125" bestFit="1" customWidth="1"/>
  </cols>
  <sheetData>
    <row r="1" spans="1:12" ht="17" thickBot="1" x14ac:dyDescent="0.25">
      <c r="A1" s="2" t="s">
        <v>20</v>
      </c>
      <c r="B1" s="3" t="s">
        <v>0</v>
      </c>
      <c r="C1" s="4" t="s">
        <v>1</v>
      </c>
      <c r="D1" s="4" t="s">
        <v>2</v>
      </c>
      <c r="E1" s="4" t="s">
        <v>16</v>
      </c>
      <c r="F1" s="4" t="s">
        <v>17</v>
      </c>
      <c r="G1" s="4" t="s">
        <v>3</v>
      </c>
      <c r="H1" s="4" t="s">
        <v>18</v>
      </c>
      <c r="I1" s="4" t="s">
        <v>4</v>
      </c>
      <c r="J1" s="4" t="s">
        <v>5</v>
      </c>
      <c r="K1" s="5" t="s">
        <v>19</v>
      </c>
      <c r="L1" s="5" t="s">
        <v>58</v>
      </c>
    </row>
    <row r="2" spans="1:12" x14ac:dyDescent="0.2">
      <c r="A2" s="14">
        <v>45536</v>
      </c>
      <c r="B2" s="8" t="s">
        <v>6</v>
      </c>
      <c r="C2" s="8" t="s">
        <v>7</v>
      </c>
      <c r="D2" s="8">
        <v>324</v>
      </c>
      <c r="E2" s="10">
        <v>0.35870000000000002</v>
      </c>
      <c r="F2" s="10">
        <v>116.22</v>
      </c>
      <c r="G2" s="8">
        <v>4.57</v>
      </c>
      <c r="H2" s="10">
        <v>116.22</v>
      </c>
      <c r="I2" s="9">
        <v>0.2</v>
      </c>
      <c r="J2" s="8">
        <v>23.24</v>
      </c>
      <c r="K2" s="12">
        <v>0.27290999999999999</v>
      </c>
    </row>
    <row r="3" spans="1:12" x14ac:dyDescent="0.2">
      <c r="A3" s="14">
        <v>45536</v>
      </c>
      <c r="B3" s="8" t="s">
        <v>8</v>
      </c>
      <c r="C3" s="8" t="s">
        <v>7</v>
      </c>
      <c r="D3" s="8">
        <v>324</v>
      </c>
      <c r="E3" s="10">
        <v>0.59065000000000001</v>
      </c>
      <c r="F3" s="10">
        <v>191.37</v>
      </c>
      <c r="G3" s="8">
        <v>7.54</v>
      </c>
      <c r="H3" s="10">
        <v>191.37</v>
      </c>
      <c r="I3" s="9">
        <v>0.2</v>
      </c>
      <c r="J3" s="8">
        <v>38.270000000000003</v>
      </c>
      <c r="K3" s="12">
        <v>0.44929000000000002</v>
      </c>
    </row>
    <row r="4" spans="1:12" x14ac:dyDescent="0.2">
      <c r="A4" s="14">
        <v>45536</v>
      </c>
      <c r="B4" s="8" t="s">
        <v>13</v>
      </c>
      <c r="C4" s="8"/>
      <c r="D4" s="8"/>
      <c r="E4" s="10"/>
      <c r="F4" s="10">
        <v>68.87</v>
      </c>
      <c r="G4" s="8">
        <v>0</v>
      </c>
      <c r="H4" s="10">
        <v>0</v>
      </c>
      <c r="J4" s="8">
        <v>0</v>
      </c>
      <c r="K4" s="12"/>
      <c r="L4" s="21">
        <f>F4/(F2+F3)*100</f>
        <v>22.390194739750964</v>
      </c>
    </row>
    <row r="5" spans="1:12" x14ac:dyDescent="0.2">
      <c r="B5" s="15" t="s">
        <v>21</v>
      </c>
    </row>
    <row r="6" spans="1:12" x14ac:dyDescent="0.2">
      <c r="F6" s="19">
        <f>D2*E2+D3*E3</f>
        <v>307.58940000000001</v>
      </c>
      <c r="I6" s="20">
        <f>F4/F6</f>
        <v>0.22390238415237976</v>
      </c>
    </row>
    <row r="7" spans="1:12" x14ac:dyDescent="0.2">
      <c r="I7" s="9"/>
    </row>
    <row r="18" spans="2:9" x14ac:dyDescent="0.2">
      <c r="I18" s="16" t="s">
        <v>52</v>
      </c>
    </row>
    <row r="19" spans="2:9" x14ac:dyDescent="0.2">
      <c r="B19" s="16" t="s">
        <v>22</v>
      </c>
      <c r="C19" s="16" t="s">
        <v>17</v>
      </c>
      <c r="I19" s="16" t="s">
        <v>53</v>
      </c>
    </row>
    <row r="20" spans="2:9" x14ac:dyDescent="0.2">
      <c r="B20" s="17" t="s">
        <v>23</v>
      </c>
      <c r="C20" s="17">
        <v>324</v>
      </c>
      <c r="I20" s="16" t="s">
        <v>54</v>
      </c>
    </row>
    <row r="21" spans="2:9" ht="17" x14ac:dyDescent="0.25">
      <c r="B21" s="17" t="s">
        <v>24</v>
      </c>
      <c r="C21" s="17">
        <v>0.36</v>
      </c>
      <c r="I21" s="16" t="s">
        <v>55</v>
      </c>
    </row>
    <row r="22" spans="2:9" x14ac:dyDescent="0.2">
      <c r="B22" s="17" t="s">
        <v>25</v>
      </c>
      <c r="C22" s="17">
        <v>0.59</v>
      </c>
      <c r="I22" s="16" t="s">
        <v>56</v>
      </c>
    </row>
    <row r="23" spans="2:9" ht="17" x14ac:dyDescent="0.25">
      <c r="B23" s="17" t="s">
        <v>21</v>
      </c>
      <c r="C23" s="18" t="s">
        <v>26</v>
      </c>
      <c r="I23" s="16" t="s">
        <v>57</v>
      </c>
    </row>
    <row r="24" spans="2:9" x14ac:dyDescent="0.2">
      <c r="B24" s="17" t="s">
        <v>27</v>
      </c>
      <c r="C24" s="17">
        <v>68.87</v>
      </c>
    </row>
    <row r="25" spans="2:9" ht="17" x14ac:dyDescent="0.25">
      <c r="B25" s="17" t="s">
        <v>28</v>
      </c>
      <c r="C25" s="18" t="s">
        <v>29</v>
      </c>
    </row>
    <row r="33" spans="2:2" x14ac:dyDescent="0.2">
      <c r="B33" s="17" t="s">
        <v>30</v>
      </c>
    </row>
    <row r="35" spans="2:2" x14ac:dyDescent="0.2">
      <c r="B35" s="16" t="s">
        <v>31</v>
      </c>
    </row>
    <row r="37" spans="2:2" x14ac:dyDescent="0.2">
      <c r="B37" s="16" t="s">
        <v>32</v>
      </c>
    </row>
    <row r="38" spans="2:2" x14ac:dyDescent="0.2">
      <c r="B38" s="16" t="s">
        <v>33</v>
      </c>
    </row>
    <row r="39" spans="2:2" x14ac:dyDescent="0.2">
      <c r="B39" s="16" t="s">
        <v>34</v>
      </c>
    </row>
    <row r="41" spans="2:2" x14ac:dyDescent="0.2">
      <c r="B41" s="16" t="s">
        <v>35</v>
      </c>
    </row>
    <row r="43" spans="2:2" x14ac:dyDescent="0.2">
      <c r="B43" s="17" t="s">
        <v>36</v>
      </c>
    </row>
    <row r="44" spans="2:2" x14ac:dyDescent="0.2">
      <c r="B44" s="17" t="s">
        <v>37</v>
      </c>
    </row>
    <row r="46" spans="2:2" x14ac:dyDescent="0.2">
      <c r="B46" s="16" t="s">
        <v>38</v>
      </c>
    </row>
    <row r="48" spans="2:2" x14ac:dyDescent="0.2">
      <c r="B48" s="16" t="s">
        <v>39</v>
      </c>
    </row>
    <row r="49" spans="2:2" x14ac:dyDescent="0.2">
      <c r="B49" s="16" t="s">
        <v>40</v>
      </c>
    </row>
    <row r="51" spans="2:2" x14ac:dyDescent="0.2">
      <c r="B51" s="17" t="s">
        <v>41</v>
      </c>
    </row>
    <row r="53" spans="2:2" x14ac:dyDescent="0.2">
      <c r="B53" s="16" t="s">
        <v>42</v>
      </c>
    </row>
    <row r="55" spans="2:2" x14ac:dyDescent="0.2">
      <c r="B55" s="17" t="s">
        <v>43</v>
      </c>
    </row>
    <row r="57" spans="2:2" x14ac:dyDescent="0.2">
      <c r="B57" s="16" t="s">
        <v>44</v>
      </c>
    </row>
    <row r="59" spans="2:2" x14ac:dyDescent="0.2">
      <c r="B59" s="17" t="s">
        <v>45</v>
      </c>
    </row>
    <row r="61" spans="2:2" x14ac:dyDescent="0.2">
      <c r="B61" s="16" t="s">
        <v>46</v>
      </c>
    </row>
    <row r="63" spans="2:2" x14ac:dyDescent="0.2">
      <c r="B63" s="17" t="s">
        <v>47</v>
      </c>
    </row>
    <row r="65" spans="2:2" x14ac:dyDescent="0.2">
      <c r="B65" s="17" t="s">
        <v>48</v>
      </c>
    </row>
    <row r="67" spans="2:2" x14ac:dyDescent="0.2">
      <c r="B67" s="17" t="s">
        <v>49</v>
      </c>
    </row>
    <row r="69" spans="2:2" x14ac:dyDescent="0.2">
      <c r="B69" s="17" t="s">
        <v>50</v>
      </c>
    </row>
    <row r="71" spans="2:2" x14ac:dyDescent="0.2">
      <c r="B71" s="16" t="s">
        <v>51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09_24-2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Wilkne</dc:creator>
  <cp:lastModifiedBy>Wilkne</cp:lastModifiedBy>
  <dcterms:created xsi:type="dcterms:W3CDTF">2024-09-12T21:35:37Z</dcterms:created>
  <dcterms:modified xsi:type="dcterms:W3CDTF">2024-09-14T23:15:26Z</dcterms:modified>
</cp:coreProperties>
</file>